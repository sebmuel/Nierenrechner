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klimmer/Desktop/"/>
    </mc:Choice>
  </mc:AlternateContent>
  <xr:revisionPtr revIDLastSave="0" documentId="8_{3A5E7E19-A67C-C147-B06B-F8926F587434}" xr6:coauthVersionLast="47" xr6:coauthVersionMax="47" xr10:uidLastSave="{00000000-0000-0000-0000-000000000000}"/>
  <bookViews>
    <workbookView xWindow="0" yWindow="660" windowWidth="30240" windowHeight="18140" xr2:uid="{AB7F305A-4B06-4315-B67E-37FF72CED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2" i="1" l="1"/>
  <c r="J13" i="1"/>
  <c r="J14" i="1"/>
  <c r="K12" i="1"/>
  <c r="M8" i="1"/>
  <c r="M9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21" i="1"/>
  <c r="J38" i="1"/>
  <c r="J39" i="1"/>
  <c r="J33" i="1"/>
  <c r="J34" i="1"/>
  <c r="J35" i="1"/>
  <c r="J36" i="1"/>
  <c r="J37" i="1"/>
  <c r="J22" i="1"/>
  <c r="J23" i="1"/>
  <c r="J24" i="1"/>
  <c r="J25" i="1"/>
  <c r="J26" i="1"/>
  <c r="J27" i="1"/>
  <c r="J28" i="1"/>
  <c r="J29" i="1"/>
  <c r="J30" i="1"/>
  <c r="J31" i="1"/>
  <c r="J32" i="1"/>
  <c r="J21" i="1"/>
  <c r="K14" i="1"/>
  <c r="K13" i="1"/>
</calcChain>
</file>

<file path=xl/sharedStrings.xml><?xml version="1.0" encoding="utf-8"?>
<sst xmlns="http://schemas.openxmlformats.org/spreadsheetml/2006/main" count="52" uniqueCount="28">
  <si>
    <r>
      <t>The cells show coefficients to use in the following formula: eGFR=μ×min(Scr/κ,1)</t>
    </r>
    <r>
      <rPr>
        <i/>
        <sz val="8"/>
        <color rgb="FF1A1A1A"/>
        <rFont val="OTNEJMScalaSansLF"/>
      </rPr>
      <t>a</t>
    </r>
    <r>
      <rPr>
        <sz val="6"/>
        <color rgb="FF1A1A1A"/>
        <rFont val="OTNEJMScalaSansLF"/>
      </rPr>
      <t>1</t>
    </r>
    <r>
      <rPr>
        <sz val="11"/>
        <color rgb="FF1A1A1A"/>
        <rFont val="OTNEJMScalaSansLF"/>
      </rPr>
      <t>×max(Scr/κ,1)</t>
    </r>
    <r>
      <rPr>
        <i/>
        <sz val="8"/>
        <color rgb="FF1A1A1A"/>
        <rFont val="OTNEJMScalaSansLF"/>
      </rPr>
      <t>a</t>
    </r>
    <r>
      <rPr>
        <sz val="6"/>
        <color rgb="FF1A1A1A"/>
        <rFont val="OTNEJMScalaSansLF"/>
      </rPr>
      <t>2</t>
    </r>
    <r>
      <rPr>
        <sz val="11"/>
        <color rgb="FF1A1A1A"/>
        <rFont val="OTNEJMScalaSansLF"/>
      </rPr>
      <t>×min(Scys/0.8,1)</t>
    </r>
    <r>
      <rPr>
        <i/>
        <sz val="8"/>
        <color rgb="FF1A1A1A"/>
        <rFont val="OTNEJMScalaSansLF"/>
      </rPr>
      <t>b</t>
    </r>
    <r>
      <rPr>
        <sz val="6"/>
        <color rgb="FF1A1A1A"/>
        <rFont val="OTNEJMScalaSansLF"/>
      </rPr>
      <t>1</t>
    </r>
    <r>
      <rPr>
        <sz val="11"/>
        <color rgb="FF1A1A1A"/>
        <rFont val="OTNEJMScalaSansLF"/>
      </rPr>
      <t>×max(Scys/0.8,1)</t>
    </r>
    <r>
      <rPr>
        <i/>
        <sz val="8"/>
        <color rgb="FF1A1A1A"/>
        <rFont val="OTNEJMScalaSansLF"/>
      </rPr>
      <t>b</t>
    </r>
    <r>
      <rPr>
        <sz val="6"/>
        <color rgb="FF1A1A1A"/>
        <rFont val="OTNEJMScalaSansLF"/>
      </rPr>
      <t>2</t>
    </r>
    <r>
      <rPr>
        <sz val="11"/>
        <color rgb="FF1A1A1A"/>
        <rFont val="OTNEJMScalaSansLF"/>
      </rPr>
      <t>×</t>
    </r>
    <r>
      <rPr>
        <i/>
        <sz val="11"/>
        <color rgb="FF1A1A1A"/>
        <rFont val="OTNEJMScalaSansLF"/>
      </rPr>
      <t>c</t>
    </r>
    <r>
      <rPr>
        <sz val="8"/>
        <color rgb="FF1A1A1A"/>
        <rFont val="OTNEJMScalaSansLF"/>
      </rPr>
      <t>Age</t>
    </r>
    <r>
      <rPr>
        <sz val="11"/>
        <color rgb="FF1A1A1A"/>
        <rFont val="OTNEJMScalaSansLF"/>
      </rPr>
      <t>×</t>
    </r>
    <r>
      <rPr>
        <i/>
        <sz val="11"/>
        <color rgb="FF1A1A1A"/>
        <rFont val="OTNEJMScalaSansLF"/>
      </rPr>
      <t>d</t>
    </r>
    <r>
      <rPr>
        <sz val="11"/>
        <color rgb="FF1A1A1A"/>
        <rFont val="OTNEJMScalaSansLF"/>
      </rPr>
      <t>[if female]×</t>
    </r>
    <r>
      <rPr>
        <i/>
        <sz val="11"/>
        <color rgb="FF1A1A1A"/>
        <rFont val="OTNEJMScalaSansLF"/>
      </rPr>
      <t>e</t>
    </r>
    <r>
      <rPr>
        <sz val="11"/>
        <color rgb="FF1A1A1A"/>
        <rFont val="OTNEJMScalaSansLF"/>
      </rPr>
      <t>[if Black]. Here, κ is 0.7 for female participants and 0.9 for male participants, min indicates the minimum of Scr/κ and 1, and max indicates the maximum of Scr/κ and 1.</t>
    </r>
  </si>
  <si>
    <t>2012 cys-c</t>
  </si>
  <si>
    <t>2021 crea</t>
  </si>
  <si>
    <t>2021 combined</t>
  </si>
  <si>
    <t>intercept</t>
  </si>
  <si>
    <t>a1</t>
  </si>
  <si>
    <t>n/a</t>
  </si>
  <si>
    <t>a2</t>
  </si>
  <si>
    <t>b1</t>
  </si>
  <si>
    <t>b2</t>
  </si>
  <si>
    <t>female</t>
  </si>
  <si>
    <t>male</t>
  </si>
  <si>
    <t>age</t>
  </si>
  <si>
    <t>sex</t>
  </si>
  <si>
    <t>black race</t>
  </si>
  <si>
    <t>SCr</t>
  </si>
  <si>
    <t>Cys-C</t>
  </si>
  <si>
    <t>K</t>
  </si>
  <si>
    <t>2012 Cys-C</t>
  </si>
  <si>
    <t>mg/dl</t>
  </si>
  <si>
    <t>SCR</t>
  </si>
  <si>
    <t>eGfR (SCr)</t>
  </si>
  <si>
    <t>eGFR (Cys-C</t>
  </si>
  <si>
    <t>mg/l</t>
  </si>
  <si>
    <t>mikro mol/l</t>
  </si>
  <si>
    <t>unit</t>
  </si>
  <si>
    <t>alt unit</t>
  </si>
  <si>
    <t>male, age as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</si>
</sst>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A1A1A"/>
      <name val="OTNEJMScalaSansLF"/>
    </font>
    <font>
      <sz val="8"/>
      <color rgb="FF1A1A1A"/>
      <name val="OTNEJMScalaSansLF"/>
    </font>
    <font>
      <i/>
      <sz val="8"/>
      <color rgb="FF1A1A1A"/>
      <name val="OTNEJMScalaSansLF"/>
    </font>
    <font>
      <sz val="6"/>
      <color rgb="FF1A1A1A"/>
      <name val="OTNEJMScalaSansLF"/>
    </font>
    <font>
      <i/>
      <sz val="11"/>
      <color rgb="FF1A1A1A"/>
      <name val="OTNEJMScalaSansLF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3" borderId="0" xfId="0" applyFont="1" applyFill="1"/>
    <xf numFmtId="0" fontId="1" fillId="4" borderId="0" xfId="0" applyFont="1" applyFill="1"/>
    <xf numFmtId="164" fontId="0" fillId="0" borderId="0" xfId="0" applyNumberFormat="1"/>
    <xf numFmtId="0" fontId="0" fillId="5" borderId="0" xfId="0" applyFill="1"/>
    <xf numFmtId="165" fontId="0" fillId="6" borderId="0" xfId="0" applyNumberFormat="1" applyFill="1"/>
    <xf numFmtId="0" fontId="1" fillId="0" borderId="1" xfId="0" applyFont="1" applyBorder="1"/>
    <xf numFmtId="0" fontId="0" fillId="0" borderId="2" xfId="0" applyBorder="1"/>
    <xf numFmtId="165" fontId="0" fillId="6" borderId="2" xfId="0" applyNumberFormat="1" applyFill="1" applyBorder="1"/>
    <xf numFmtId="165" fontId="0" fillId="6" borderId="3" xfId="0" applyNumberFormat="1" applyFill="1" applyBorder="1"/>
    <xf numFmtId="2" fontId="0" fillId="2" borderId="2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7469816272965878E-2"/>
          <c:y val="0.17171296296296298"/>
          <c:w val="0.87439129483814526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Sheet1!$J$20</c:f>
              <c:strCache>
                <c:ptCount val="1"/>
                <c:pt idx="0">
                  <c:v>eGfR (SCr)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Sheet1!$I$21:$I$39</c:f>
              <c:numCache>
                <c:formatCode>0.0</c:formatCode>
                <c:ptCount val="1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</c:numCache>
            </c:numRef>
          </c:xVal>
          <c:yVal>
            <c:numRef>
              <c:f>Sheet1!$J$21:$J$39</c:f>
              <c:numCache>
                <c:formatCode>General</c:formatCode>
                <c:ptCount val="19"/>
                <c:pt idx="0">
                  <c:v>87.785325349144841</c:v>
                </c:pt>
                <c:pt idx="1">
                  <c:v>53.965028677629299</c:v>
                </c:pt>
                <c:pt idx="2">
                  <c:v>38.210782215915785</c:v>
                </c:pt>
                <c:pt idx="3">
                  <c:v>29.234381672899008</c:v>
                </c:pt>
                <c:pt idx="4">
                  <c:v>23.489643056800841</c:v>
                </c:pt>
                <c:pt idx="5">
                  <c:v>19.522717494931314</c:v>
                </c:pt>
                <c:pt idx="6">
                  <c:v>16.632208991025504</c:v>
                </c:pt>
                <c:pt idx="7">
                  <c:v>14.439990467038593</c:v>
                </c:pt>
                <c:pt idx="8">
                  <c:v>12.725003716478057</c:v>
                </c:pt>
                <c:pt idx="9">
                  <c:v>11.349760458565523</c:v>
                </c:pt>
                <c:pt idx="10">
                  <c:v>10.224460997361431</c:v>
                </c:pt>
                <c:pt idx="11">
                  <c:v>9.2880788809143695</c:v>
                </c:pt>
                <c:pt idx="12">
                  <c:v>8.4977563561417782</c:v>
                </c:pt>
                <c:pt idx="13">
                  <c:v>7.8225510670658709</c:v>
                </c:pt>
                <c:pt idx="14">
                  <c:v>7.2395894529980573</c:v>
                </c:pt>
                <c:pt idx="15">
                  <c:v>6.7316141119141903</c:v>
                </c:pt>
                <c:pt idx="16">
                  <c:v>6.2853709175355528</c:v>
                </c:pt>
                <c:pt idx="17">
                  <c:v>5.8905194821940281</c:v>
                </c:pt>
                <c:pt idx="18">
                  <c:v>5.5388795766626249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95-434C-A902-025FB6DED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310064"/>
        <c:axId val="1076312464"/>
      </c:scatterChart>
      <c:valAx>
        <c:axId val="107631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6312464"/>
        <c:crosses val="autoZero"/>
        <c:crossBetween val="midCat"/>
      </c:valAx>
      <c:valAx>
        <c:axId val="107631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631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Sheet1!$M$20</c:f>
              <c:strCache>
                <c:ptCount val="1"/>
                <c:pt idx="0">
                  <c:v>eGFR (Cys-C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Sheet1!$L$21:$L$39</c:f>
              <c:numCache>
                <c:formatCode>0.0</c:formatCode>
                <c:ptCount val="1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</c:numCache>
            </c:numRef>
          </c:xVal>
          <c:yVal>
            <c:numRef>
              <c:f>Sheet1!$M$21:$M$39</c:f>
              <c:numCache>
                <c:formatCode>General</c:formatCode>
                <c:ptCount val="19"/>
                <c:pt idx="0">
                  <c:v>79.599029974660425</c:v>
                </c:pt>
                <c:pt idx="1">
                  <c:v>46.457793927998708</c:v>
                </c:pt>
                <c:pt idx="2">
                  <c:v>31.70588945162622</c:v>
                </c:pt>
                <c:pt idx="3">
                  <c:v>23.574551751090439</c:v>
                </c:pt>
                <c:pt idx="4">
                  <c:v>18.505070714008319</c:v>
                </c:pt>
                <c:pt idx="5">
                  <c:v>15.0794469026829</c:v>
                </c:pt>
                <c:pt idx="6">
                  <c:v>12.629091412781781</c:v>
                </c:pt>
                <c:pt idx="7">
                  <c:v>10.80044269544643</c:v>
                </c:pt>
                <c:pt idx="8">
                  <c:v>9.3902165884390651</c:v>
                </c:pt>
                <c:pt idx="9">
                  <c:v>8.2738210518321331</c:v>
                </c:pt>
                <c:pt idx="10">
                  <c:v>7.3709406576895544</c:v>
                </c:pt>
                <c:pt idx="11">
                  <c:v>6.627638890140414</c:v>
                </c:pt>
                <c:pt idx="12">
                  <c:v>6.0064460162433182</c:v>
                </c:pt>
                <c:pt idx="13">
                  <c:v>5.4805786872510005</c:v>
                </c:pt>
                <c:pt idx="14">
                  <c:v>5.0304202995389478</c:v>
                </c:pt>
                <c:pt idx="15">
                  <c:v>4.6412978742575008</c:v>
                </c:pt>
                <c:pt idx="16">
                  <c:v>4.3020328544136799</c:v>
                </c:pt>
                <c:pt idx="17">
                  <c:v>4.0039701163604189</c:v>
                </c:pt>
                <c:pt idx="18">
                  <c:v>3.7403115235782858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E7-46FD-A4FC-0CC10180E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235184"/>
        <c:axId val="1076254384"/>
      </c:scatterChart>
      <c:valAx>
        <c:axId val="107623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6254384"/>
        <c:crosses val="autoZero"/>
        <c:crossBetween val="midCat"/>
      </c:valAx>
      <c:valAx>
        <c:axId val="107625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6235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17</xdr:row>
      <xdr:rowOff>166687</xdr:rowOff>
    </xdr:from>
    <xdr:to>
      <xdr:col>7</xdr:col>
      <xdr:colOff>361950</xdr:colOff>
      <xdr:row>32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655148-6F34-CD88-4AC7-8CCA04F1D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32</xdr:row>
      <xdr:rowOff>147637</xdr:rowOff>
    </xdr:from>
    <xdr:to>
      <xdr:col>7</xdr:col>
      <xdr:colOff>352425</xdr:colOff>
      <xdr:row>47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ED09A2-E461-5F30-C6A4-F2EFFAB4A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FB52-BC9F-4366-ADC6-F8FD4761A151}">
  <dimension ref="A2:N39"/>
  <sheetViews>
    <sheetView tabSelected="1" workbookViewId="0">
      <selection activeCell="L18" sqref="L18"/>
    </sheetView>
  </sheetViews>
  <sheetFormatPr baseColWidth="10" defaultColWidth="8.83203125" defaultRowHeight="15"/>
  <cols>
    <col min="2" max="2" width="11" customWidth="1"/>
    <col min="9" max="9" width="18.6640625" customWidth="1"/>
  </cols>
  <sheetData>
    <row r="2" spans="1:14">
      <c r="B2" s="1" t="s">
        <v>0</v>
      </c>
    </row>
    <row r="6" spans="1:14" s="2" customFormat="1" ht="16" thickBot="1">
      <c r="B6" s="6" t="s">
        <v>1</v>
      </c>
      <c r="C6" s="6"/>
      <c r="D6" s="7" t="s">
        <v>2</v>
      </c>
      <c r="E6" s="7"/>
      <c r="F6" s="6" t="s">
        <v>3</v>
      </c>
      <c r="G6" s="6"/>
    </row>
    <row r="7" spans="1:14">
      <c r="B7" s="4" t="s">
        <v>10</v>
      </c>
      <c r="C7" s="4" t="s">
        <v>11</v>
      </c>
      <c r="D7" s="5" t="s">
        <v>10</v>
      </c>
      <c r="E7" s="5" t="s">
        <v>11</v>
      </c>
      <c r="F7" s="4" t="s">
        <v>10</v>
      </c>
      <c r="G7" s="4" t="s">
        <v>11</v>
      </c>
      <c r="J7" t="s">
        <v>10</v>
      </c>
      <c r="K7" s="11" t="s">
        <v>11</v>
      </c>
      <c r="L7" t="s">
        <v>25</v>
      </c>
      <c r="M7" t="s">
        <v>26</v>
      </c>
    </row>
    <row r="8" spans="1:14">
      <c r="A8" t="s">
        <v>4</v>
      </c>
      <c r="B8" s="4">
        <v>133</v>
      </c>
      <c r="C8" s="4">
        <v>133</v>
      </c>
      <c r="D8" s="5">
        <v>142</v>
      </c>
      <c r="E8" s="5">
        <v>142</v>
      </c>
      <c r="F8" s="4">
        <v>135</v>
      </c>
      <c r="G8" s="4">
        <v>135</v>
      </c>
      <c r="I8" t="s">
        <v>15</v>
      </c>
      <c r="J8" s="3">
        <v>6</v>
      </c>
      <c r="K8" s="15">
        <v>6</v>
      </c>
      <c r="L8" s="2" t="s">
        <v>19</v>
      </c>
      <c r="M8" s="9">
        <f>K8*88.4</f>
        <v>530.40000000000009</v>
      </c>
      <c r="N8" t="s">
        <v>24</v>
      </c>
    </row>
    <row r="9" spans="1:14">
      <c r="A9" t="s">
        <v>17</v>
      </c>
      <c r="B9" s="4">
        <v>0.7</v>
      </c>
      <c r="C9" s="4">
        <v>0.9</v>
      </c>
      <c r="D9" s="5">
        <v>0.7</v>
      </c>
      <c r="E9" s="5">
        <v>0.9</v>
      </c>
      <c r="F9" s="4">
        <v>0.7</v>
      </c>
      <c r="G9" s="4">
        <v>0.9</v>
      </c>
      <c r="I9" t="s">
        <v>16</v>
      </c>
      <c r="J9" s="3">
        <v>3</v>
      </c>
      <c r="K9" s="15">
        <v>3</v>
      </c>
      <c r="L9" s="2" t="s">
        <v>23</v>
      </c>
      <c r="M9" s="9">
        <f>K9/10</f>
        <v>0.3</v>
      </c>
      <c r="N9" t="s">
        <v>19</v>
      </c>
    </row>
    <row r="10" spans="1:14">
      <c r="A10" t="s">
        <v>5</v>
      </c>
      <c r="B10" s="4" t="s">
        <v>6</v>
      </c>
      <c r="C10" s="4" t="s">
        <v>6</v>
      </c>
      <c r="D10" s="5">
        <v>-0.24099999999999999</v>
      </c>
      <c r="E10" s="5">
        <v>-0.30199999999999999</v>
      </c>
      <c r="F10" s="4">
        <v>-0.219</v>
      </c>
      <c r="G10" s="4">
        <v>-0.14399999999999999</v>
      </c>
      <c r="I10" t="s">
        <v>12</v>
      </c>
      <c r="J10">
        <v>57</v>
      </c>
      <c r="K10" s="12">
        <v>57</v>
      </c>
    </row>
    <row r="11" spans="1:14">
      <c r="A11" t="s">
        <v>7</v>
      </c>
      <c r="B11" s="4" t="s">
        <v>6</v>
      </c>
      <c r="C11" s="4" t="s">
        <v>6</v>
      </c>
      <c r="D11" s="5">
        <v>-1.2</v>
      </c>
      <c r="E11" s="5">
        <v>-1.2</v>
      </c>
      <c r="F11" s="4">
        <v>-0.54400000000000004</v>
      </c>
      <c r="G11" s="4">
        <v>-0.54400000000000004</v>
      </c>
      <c r="K11" s="12"/>
    </row>
    <row r="12" spans="1:14">
      <c r="A12" t="s">
        <v>8</v>
      </c>
      <c r="B12" s="4">
        <v>-0.499</v>
      </c>
      <c r="C12" s="4">
        <v>-0.499</v>
      </c>
      <c r="D12" s="5" t="s">
        <v>6</v>
      </c>
      <c r="E12" s="5" t="s">
        <v>6</v>
      </c>
      <c r="F12" s="4">
        <v>-0.32300000000000001</v>
      </c>
      <c r="G12" s="4">
        <v>-0.32300000000000001</v>
      </c>
      <c r="I12" t="s">
        <v>18</v>
      </c>
      <c r="J12" s="10">
        <f>B8*MIN(J9/0.8,1)^B12*MAX(J9/0.8,1)^B13*B14^J10*B15</f>
        <v>17.246725905455754</v>
      </c>
      <c r="K12" s="13">
        <f>C8*MIN(K9/0.8,1)^C12*MAX(K9/0.8,1)^C13*C14^K10*C15</f>
        <v>18.505070714008319</v>
      </c>
    </row>
    <row r="13" spans="1:14">
      <c r="A13" t="s">
        <v>9</v>
      </c>
      <c r="B13" s="4">
        <v>-1.3280000000000001</v>
      </c>
      <c r="C13" s="4">
        <v>-1.3280000000000001</v>
      </c>
      <c r="D13" s="5" t="s">
        <v>6</v>
      </c>
      <c r="E13" s="5" t="s">
        <v>6</v>
      </c>
      <c r="F13" s="4">
        <v>-0.77800000000000002</v>
      </c>
      <c r="G13" s="4">
        <v>-0.77800000000000002</v>
      </c>
      <c r="I13" t="s">
        <v>2</v>
      </c>
      <c r="J13" s="10">
        <f>D8*MIN(J8/D9,1)^D10*MAX(J8/D9,1)^D11*D14^J10*D15</f>
        <v>7.6532794578054562</v>
      </c>
      <c r="K13" s="13">
        <f>E8*MIN(K8/E9,1)^E10*MAX(K8/E9,1)^E11*E14^K10*E15</f>
        <v>10.224460997361431</v>
      </c>
    </row>
    <row r="14" spans="1:14" ht="16" thickBot="1">
      <c r="A14" t="s">
        <v>12</v>
      </c>
      <c r="B14" s="4">
        <v>0.99619999999999997</v>
      </c>
      <c r="C14" s="4">
        <v>0.99619999999999997</v>
      </c>
      <c r="D14" s="5">
        <v>0.99380000000000002</v>
      </c>
      <c r="E14" s="5">
        <v>0.99380000000000002</v>
      </c>
      <c r="F14" s="4">
        <v>0.99609999999999999</v>
      </c>
      <c r="G14" s="4">
        <v>0.99609999999999999</v>
      </c>
      <c r="I14" t="s">
        <v>3</v>
      </c>
      <c r="J14" s="10">
        <f>F8*MIN(J8/F9,1)^F10*MAX(J8/F9,1)^F11*MIN(J9/0.8,1)^F12*MAX(J9/0.8,1)^F13*F14^J10</f>
        <v>12.006711664397153</v>
      </c>
      <c r="K14" s="14">
        <f>G8*MIN(K8/G9,1)^G10*MAX(K8/G9,1)^G11*MIN(K9/0.8,1)^G12*MAX(K9/0.8,1)^G13*G14^K10</f>
        <v>13.765711795427082</v>
      </c>
    </row>
    <row r="15" spans="1:14">
      <c r="A15" t="s">
        <v>13</v>
      </c>
      <c r="B15" s="4">
        <v>0.93200000000000005</v>
      </c>
      <c r="C15" s="4">
        <v>1</v>
      </c>
      <c r="D15" s="5">
        <v>1.012</v>
      </c>
      <c r="E15" s="5">
        <v>1</v>
      </c>
      <c r="F15" s="4">
        <v>0.96299999999999997</v>
      </c>
      <c r="G15" s="4">
        <v>1</v>
      </c>
    </row>
    <row r="16" spans="1:14">
      <c r="A16" t="s">
        <v>14</v>
      </c>
      <c r="B16" s="4" t="s">
        <v>6</v>
      </c>
      <c r="C16" s="4" t="s">
        <v>6</v>
      </c>
      <c r="D16" s="5" t="s">
        <v>6</v>
      </c>
      <c r="E16" s="5" t="s">
        <v>6</v>
      </c>
      <c r="F16" s="4" t="s">
        <v>6</v>
      </c>
      <c r="G16" s="4" t="s">
        <v>6</v>
      </c>
    </row>
    <row r="18" spans="9:13">
      <c r="I18" s="2" t="s">
        <v>27</v>
      </c>
    </row>
    <row r="20" spans="9:13">
      <c r="I20" t="s">
        <v>20</v>
      </c>
      <c r="J20" t="s">
        <v>21</v>
      </c>
      <c r="L20" t="s">
        <v>16</v>
      </c>
      <c r="M20" t="s">
        <v>22</v>
      </c>
    </row>
    <row r="21" spans="9:13">
      <c r="I21" s="8">
        <v>1</v>
      </c>
      <c r="J21">
        <f t="shared" ref="J21:J39" si="0">$E$8*MIN(I21/$E$9,1)^$E$10*MAX(I21/$E$9,1)^$E$11*$E$14^$K$10*$E$15</f>
        <v>87.785325349144841</v>
      </c>
      <c r="L21" s="8">
        <v>1</v>
      </c>
      <c r="M21">
        <f t="shared" ref="M21:M39" si="1">$C$8*MIN(L21/0.8,1)^$C$12*MAX(L21/0.8,1)^$C$13*$C$14^$K$10*$C$15</f>
        <v>79.599029974660425</v>
      </c>
    </row>
    <row r="22" spans="9:13">
      <c r="I22" s="8">
        <v>1.5</v>
      </c>
      <c r="J22">
        <f t="shared" si="0"/>
        <v>53.965028677629299</v>
      </c>
      <c r="L22" s="8">
        <v>1.5</v>
      </c>
      <c r="M22">
        <f t="shared" si="1"/>
        <v>46.457793927998708</v>
      </c>
    </row>
    <row r="23" spans="9:13">
      <c r="I23" s="8">
        <v>2</v>
      </c>
      <c r="J23">
        <f t="shared" si="0"/>
        <v>38.210782215915785</v>
      </c>
      <c r="L23" s="8">
        <v>2</v>
      </c>
      <c r="M23">
        <f t="shared" si="1"/>
        <v>31.70588945162622</v>
      </c>
    </row>
    <row r="24" spans="9:13">
      <c r="I24" s="8">
        <v>2.5</v>
      </c>
      <c r="J24">
        <f t="shared" si="0"/>
        <v>29.234381672899008</v>
      </c>
      <c r="L24" s="8">
        <v>2.5</v>
      </c>
      <c r="M24">
        <f t="shared" si="1"/>
        <v>23.574551751090439</v>
      </c>
    </row>
    <row r="25" spans="9:13">
      <c r="I25" s="8">
        <v>3</v>
      </c>
      <c r="J25">
        <f t="shared" si="0"/>
        <v>23.489643056800841</v>
      </c>
      <c r="L25" s="8">
        <v>3</v>
      </c>
      <c r="M25">
        <f t="shared" si="1"/>
        <v>18.505070714008319</v>
      </c>
    </row>
    <row r="26" spans="9:13">
      <c r="I26" s="8">
        <v>3.5</v>
      </c>
      <c r="J26">
        <f t="shared" si="0"/>
        <v>19.522717494931314</v>
      </c>
      <c r="L26" s="8">
        <v>3.5</v>
      </c>
      <c r="M26">
        <f t="shared" si="1"/>
        <v>15.0794469026829</v>
      </c>
    </row>
    <row r="27" spans="9:13">
      <c r="I27" s="8">
        <v>4</v>
      </c>
      <c r="J27">
        <f t="shared" si="0"/>
        <v>16.632208991025504</v>
      </c>
      <c r="L27" s="8">
        <v>4</v>
      </c>
      <c r="M27">
        <f t="shared" si="1"/>
        <v>12.629091412781781</v>
      </c>
    </row>
    <row r="28" spans="9:13">
      <c r="I28" s="8">
        <v>4.5</v>
      </c>
      <c r="J28">
        <f t="shared" si="0"/>
        <v>14.439990467038593</v>
      </c>
      <c r="L28" s="8">
        <v>4.5</v>
      </c>
      <c r="M28">
        <f t="shared" si="1"/>
        <v>10.80044269544643</v>
      </c>
    </row>
    <row r="29" spans="9:13">
      <c r="I29" s="8">
        <v>5</v>
      </c>
      <c r="J29">
        <f t="shared" si="0"/>
        <v>12.725003716478057</v>
      </c>
      <c r="L29" s="8">
        <v>5</v>
      </c>
      <c r="M29">
        <f t="shared" si="1"/>
        <v>9.3902165884390651</v>
      </c>
    </row>
    <row r="30" spans="9:13">
      <c r="I30" s="8">
        <v>5.5</v>
      </c>
      <c r="J30">
        <f t="shared" si="0"/>
        <v>11.349760458565523</v>
      </c>
      <c r="L30" s="8">
        <v>5.5</v>
      </c>
      <c r="M30">
        <f t="shared" si="1"/>
        <v>8.2738210518321331</v>
      </c>
    </row>
    <row r="31" spans="9:13">
      <c r="I31" s="8">
        <v>6</v>
      </c>
      <c r="J31">
        <f t="shared" si="0"/>
        <v>10.224460997361431</v>
      </c>
      <c r="L31" s="8">
        <v>6</v>
      </c>
      <c r="M31">
        <f t="shared" si="1"/>
        <v>7.3709406576895544</v>
      </c>
    </row>
    <row r="32" spans="9:13">
      <c r="I32" s="8">
        <v>6.5</v>
      </c>
      <c r="J32">
        <f t="shared" si="0"/>
        <v>9.2880788809143695</v>
      </c>
      <c r="L32" s="8">
        <v>6.5</v>
      </c>
      <c r="M32">
        <f t="shared" si="1"/>
        <v>6.627638890140414</v>
      </c>
    </row>
    <row r="33" spans="9:13">
      <c r="I33" s="8">
        <v>7</v>
      </c>
      <c r="J33">
        <f t="shared" si="0"/>
        <v>8.4977563561417782</v>
      </c>
      <c r="L33" s="8">
        <v>7</v>
      </c>
      <c r="M33">
        <f t="shared" si="1"/>
        <v>6.0064460162433182</v>
      </c>
    </row>
    <row r="34" spans="9:13">
      <c r="I34" s="8">
        <v>7.5</v>
      </c>
      <c r="J34">
        <f t="shared" si="0"/>
        <v>7.8225510670658709</v>
      </c>
      <c r="L34" s="8">
        <v>7.5</v>
      </c>
      <c r="M34">
        <f t="shared" si="1"/>
        <v>5.4805786872510005</v>
      </c>
    </row>
    <row r="35" spans="9:13">
      <c r="I35" s="8">
        <v>8</v>
      </c>
      <c r="J35">
        <f t="shared" si="0"/>
        <v>7.2395894529980573</v>
      </c>
      <c r="L35" s="8">
        <v>8</v>
      </c>
      <c r="M35">
        <f t="shared" si="1"/>
        <v>5.0304202995389478</v>
      </c>
    </row>
    <row r="36" spans="9:13">
      <c r="I36" s="8">
        <v>8.5</v>
      </c>
      <c r="J36">
        <f t="shared" si="0"/>
        <v>6.7316141119141903</v>
      </c>
      <c r="L36" s="8">
        <v>8.5</v>
      </c>
      <c r="M36">
        <f t="shared" si="1"/>
        <v>4.6412978742575008</v>
      </c>
    </row>
    <row r="37" spans="9:13">
      <c r="I37" s="8">
        <v>9</v>
      </c>
      <c r="J37">
        <f t="shared" si="0"/>
        <v>6.2853709175355528</v>
      </c>
      <c r="L37" s="8">
        <v>9</v>
      </c>
      <c r="M37">
        <f t="shared" si="1"/>
        <v>4.3020328544136799</v>
      </c>
    </row>
    <row r="38" spans="9:13">
      <c r="I38" s="8">
        <v>9.5</v>
      </c>
      <c r="J38">
        <f t="shared" si="0"/>
        <v>5.8905194821940281</v>
      </c>
      <c r="L38" s="8">
        <v>9.5</v>
      </c>
      <c r="M38">
        <f t="shared" si="1"/>
        <v>4.0039701163604189</v>
      </c>
    </row>
    <row r="39" spans="9:13">
      <c r="I39" s="8">
        <v>10</v>
      </c>
      <c r="J39">
        <f t="shared" si="0"/>
        <v>5.5388795766626249</v>
      </c>
      <c r="L39" s="8">
        <v>10</v>
      </c>
      <c r="M39">
        <f t="shared" si="1"/>
        <v>3.7403115235782858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Holger DIETZ</dc:creator>
  <cp:lastModifiedBy>Gerhard Klimmer</cp:lastModifiedBy>
  <dcterms:created xsi:type="dcterms:W3CDTF">2026-05-18T08:52:27Z</dcterms:created>
  <dcterms:modified xsi:type="dcterms:W3CDTF">2026-06-21T12:44:30Z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a12554-321c-45c3-b2fd-7e3f55c509d9_Enabled">
    <vt:lpwstr>true</vt:lpwstr>
  </property>
  <property fmtid="{D5CDD505-2E9C-101B-9397-08002B2CF9AE}" pid="3" name="MSIP_Label_56a12554-321c-45c3-b2fd-7e3f55c509d9_SetDate">
    <vt:lpwstr>2026-05-18T08:53:33Z</vt:lpwstr>
  </property>
  <property fmtid="{D5CDD505-2E9C-101B-9397-08002B2CF9AE}" pid="4" name="MSIP_Label_56a12554-321c-45c3-b2fd-7e3f55c509d9_Method">
    <vt:lpwstr>Privileged</vt:lpwstr>
  </property>
  <property fmtid="{D5CDD505-2E9C-101B-9397-08002B2CF9AE}" pid="5" name="MSIP_Label_56a12554-321c-45c3-b2fd-7e3f55c509d9_Name">
    <vt:lpwstr>56a12554-321c-45c3-b2fd-7e3f55c509d9</vt:lpwstr>
  </property>
  <property fmtid="{D5CDD505-2E9C-101B-9397-08002B2CF9AE}" pid="6" name="MSIP_Label_56a12554-321c-45c3-b2fd-7e3f55c509d9_SiteId">
    <vt:lpwstr>614f9c25-bffa-42c7-86d8-964101f55fa2</vt:lpwstr>
  </property>
  <property fmtid="{D5CDD505-2E9C-101B-9397-08002B2CF9AE}" pid="7" name="MSIP_Label_56a12554-321c-45c3-b2fd-7e3f55c509d9_ActionId">
    <vt:lpwstr>b589a3b1-4d2d-488c-b496-56873b53e827</vt:lpwstr>
  </property>
  <property fmtid="{D5CDD505-2E9C-101B-9397-08002B2CF9AE}" pid="8" name="MSIP_Label_56a12554-321c-45c3-b2fd-7e3f55c509d9_ContentBits">
    <vt:lpwstr>0</vt:lpwstr>
  </property>
  <property fmtid="{D5CDD505-2E9C-101B-9397-08002B2CF9AE}" pid="9" name="MSIP_Label_56a12554-321c-45c3-b2fd-7e3f55c509d9_Tag">
    <vt:lpwstr>10, 0, 1, 1</vt:lpwstr>
  </property>
</Properties>
</file>